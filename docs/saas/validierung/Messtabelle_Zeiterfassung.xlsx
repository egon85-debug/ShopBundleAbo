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leitung" sheetId="1" state="visible" r:id="rId3"/>
    <sheet name="Messung" sheetId="2" state="visible" r:id="rId4"/>
    <sheet name="Auswertu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Alt = bisheriger Ablauf ohne App/KI
Neu = mit B.Y.O.B.-App und KI</t>
        </r>
      </text>
    </comment>
    <comment ref="M4" authorId="0">
      <text>
        <r>
          <rPr>
            <sz val="10"/>
            <rFont val="Arial"/>
            <family val="2"/>
          </rPr>
          <t xml:space="preserve">Nur im neuen Ablauf: Zeit zum Prüfen und Korrigieren der KI-Vorschläge. Im alten Ablauf 0 eintragen.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0" authorId="0">
      <text>
        <r>
          <rPr>
            <sz val="10"/>
            <rFont val="Arial"/>
            <family val="2"/>
          </rPr>
          <t xml:space="preserve">Deine Schätzung: wie viele Artikel erfasst ihr im Monat?</t>
        </r>
      </text>
    </comment>
    <comment ref="B21" authorId="0">
      <text>
        <r>
          <rPr>
            <sz val="10"/>
            <rFont val="Arial"/>
            <family val="2"/>
          </rPr>
          <t xml:space="preserve">Was kostet eine Arbeitsstunde inkl. Nebenkosten? Schätzwert, bitte anpassen.</t>
        </r>
      </text>
    </comment>
    <comment ref="B24" authorId="0">
      <text>
        <r>
          <rPr>
            <sz val="10"/>
            <rFont val="Arial"/>
            <family val="2"/>
          </rPr>
          <t xml:space="preserve">Listenpreis laut docs/saas/kostenmodell.md § 5 (netto, Stand 28.09.2026).</t>
        </r>
      </text>
    </comment>
  </commentList>
</comments>
</file>

<file path=xl/sharedStrings.xml><?xml version="1.0" encoding="utf-8"?>
<sst xmlns="http://schemas.openxmlformats.org/spreadsheetml/2006/main" count="73" uniqueCount="73">
  <si>
    <t xml:space="preserve">Messtabelle: Zeit je Artikel – vorher und nachher</t>
  </si>
  <si>
    <t xml:space="preserve">Ziel: belegen, wie viel Zeit B.Y.O.B. je Artikel spart (Kriterium in plan.md § 16.1: mindestens 50 %).</t>
  </si>
  <si>
    <t xml:space="preserve">So gehst du vor</t>
  </si>
  <si>
    <t xml:space="preserve">1. Nimm 20 typische Artikel (gemischt: klein/groß, mit/ohne Marke, gut/schlecht erkennbar).</t>
  </si>
  <si>
    <t xml:space="preserve">2. Erfasse 10 davon im ALTEN Ablauf (ohne App/KI) und 10 im NEUEN Ablauf (mit App + KI).</t>
  </si>
  <si>
    <t xml:space="preserve">   Besser noch: je 20. Nicht dieselben Artikel doppelt – sonst ist der zweite Durchgang schneller, weil man sie schon kennt.</t>
  </si>
  <si>
    <t xml:space="preserve">3. Stoppe die Zeit je Arbeitsschritt (Handy-Stoppuhr genügt) und trage sie in MINUTEN ein, z. B. 2,5 für 2 Min. 30 Sek.</t>
  </si>
  <si>
    <t xml:space="preserve">4. Ein Schritt, der im Ablauf nicht vorkommt, bekommt 0.</t>
  </si>
  <si>
    <t xml:space="preserve">5. Das Blatt „Auswertung“ rechnet alles selbst aus. Dort trägst du nur 2 Werte ein: Artikel pro Monat und Stundensatz.</t>
  </si>
  <si>
    <t xml:space="preserve">Was du wo einträgst</t>
  </si>
  <si>
    <t xml:space="preserve">Gelbe Zellen = hier eintragen.  Graue Zellen = rechnet die Tabelle selbst, bitte nicht überschreiben.</t>
  </si>
  <si>
    <t xml:space="preserve">Zeile 5 im Blatt „Messung“ ist ein BEISPIEL (Ablauf = „Beispiel“). Sie zählt nicht mit und darf stehen bleiben.</t>
  </si>
  <si>
    <t xml:space="preserve">Die Arbeitsschritte</t>
  </si>
  <si>
    <t xml:space="preserve">Fotos: Artikel fotografieren, Bilder übertragen.</t>
  </si>
  <si>
    <t xml:space="preserve">Daten erfassen: Name, Hersteller, Modell, Zustand, Maße usw. eintippen oder einsprechen.</t>
  </si>
  <si>
    <t xml:space="preserve">Recherche &amp; Preis: Vergleichspreise suchen und Verkaufspreis festlegen.</t>
  </si>
  <si>
    <t xml:space="preserve">Bild bearbeiten: freistellen, zuschneiden, aufhellen.</t>
  </si>
  <si>
    <t xml:space="preserve">Text schreiben: Titel und Beschreibung für den Shop.</t>
  </si>
  <si>
    <t xml:space="preserve">Einstellen: im Shop bzw. auf eBay veröffentlichen.</t>
  </si>
  <si>
    <t xml:space="preserve">Lagerplatz: Artikel einsortieren und Platz notieren.</t>
  </si>
  <si>
    <t xml:space="preserve">Korrektur: nur NEUER Ablauf – Zeit, um KI-Vorschläge zu prüfen und zu ändern.</t>
  </si>
  <si>
    <t xml:space="preserve">Tipp: Miss nicht am ersten Tag mit der App, sondern nach etwas Übung – sonst misst du die Eingewöhnung, nicht den Ablauf.</t>
  </si>
  <si>
    <t xml:space="preserve">Messung je Artikel</t>
  </si>
  <si>
    <t xml:space="preserve">Gelb = eintragen · Grau = rechnet selbst · Ablauf: „Alt“ oder „Neu“ auswählen · Zeiten in Minuten (2,5 = 2 Min. 30 Sek.)</t>
  </si>
  <si>
    <t xml:space="preserve">Nr.</t>
  </si>
  <si>
    <t xml:space="preserve">Datum</t>
  </si>
  <si>
    <t xml:space="preserve">Artikel (kurz)</t>
  </si>
  <si>
    <t xml:space="preserve">Kategorie</t>
  </si>
  <si>
    <t xml:space="preserve">Ablauf</t>
  </si>
  <si>
    <t xml:space="preserve">Fotos (Min.)</t>
  </si>
  <si>
    <t xml:space="preserve">Daten erfassen (Min.)</t>
  </si>
  <si>
    <t xml:space="preserve">Recherche &amp; Preis (Min.)</t>
  </si>
  <si>
    <t xml:space="preserve">Bild bearbeiten (Min.)</t>
  </si>
  <si>
    <t xml:space="preserve">Text schreiben (Min.)</t>
  </si>
  <si>
    <t xml:space="preserve">Einstellen (Min.)</t>
  </si>
  <si>
    <t xml:space="preserve">Lagerplatz (Min.)</t>
  </si>
  <si>
    <t xml:space="preserve">Korrektur (nur neu) (Min.)</t>
  </si>
  <si>
    <t xml:space="preserve">Gesamt (Min.)</t>
  </si>
  <si>
    <t xml:space="preserve">Preisvorschlag der KI</t>
  </si>
  <si>
    <t xml:space="preserve">Bemerkung</t>
  </si>
  <si>
    <t xml:space="preserve">Bsp.</t>
  </si>
  <si>
    <t xml:space="preserve">29.09.2026</t>
  </si>
  <si>
    <t xml:space="preserve">Spiegelreflexkamera, silber</t>
  </si>
  <si>
    <t xml:space="preserve">Foto &amp; Kamera</t>
  </si>
  <si>
    <t xml:space="preserve">Beispiel</t>
  </si>
  <si>
    <t xml:space="preserve">nicht genutzt</t>
  </si>
  <si>
    <t xml:space="preserve">Beispielzeile – zählt nicht mit</t>
  </si>
  <si>
    <t xml:space="preserve">Auswertung (rechnet automatisch)</t>
  </si>
  <si>
    <t xml:space="preserve">Arbeitsschritt</t>
  </si>
  <si>
    <t xml:space="preserve">Ø Alt (Min.)</t>
  </si>
  <si>
    <t xml:space="preserve">Ø Neu (Min.)</t>
  </si>
  <si>
    <t xml:space="preserve">Ersparnis (Min.)</t>
  </si>
  <si>
    <t xml:space="preserve">Ersparnis (%)</t>
  </si>
  <si>
    <t xml:space="preserve">Fotos</t>
  </si>
  <si>
    <t xml:space="preserve">Daten erfassen</t>
  </si>
  <si>
    <t xml:space="preserve">Recherche &amp; Preis</t>
  </si>
  <si>
    <t xml:space="preserve">Bild bearbeiten</t>
  </si>
  <si>
    <t xml:space="preserve">Text schreiben</t>
  </si>
  <si>
    <t xml:space="preserve">Einstellen</t>
  </si>
  <si>
    <t xml:space="preserve">Lagerplatz</t>
  </si>
  <si>
    <t xml:space="preserve">Korrektur (nur neu)</t>
  </si>
  <si>
    <t xml:space="preserve">Gesamt je Artikel</t>
  </si>
  <si>
    <t xml:space="preserve">Anzahl Messungen Alt</t>
  </si>
  <si>
    <t xml:space="preserve">Anzahl Messungen Neu</t>
  </si>
  <si>
    <t xml:space="preserve">Ziel erreicht? (mind. 50 % Ersparnis)</t>
  </si>
  <si>
    <t xml:space="preserve">Hochrechnung pro Monat</t>
  </si>
  <si>
    <t xml:space="preserve">Artikel pro Monat (eintragen)</t>
  </si>
  <si>
    <t xml:space="preserve">Stundensatz in € (eintragen)</t>
  </si>
  <si>
    <t xml:space="preserve">Gesparte Stunden pro Monat</t>
  </si>
  <si>
    <t xml:space="preserve">Gesparte Kosten pro Monat</t>
  </si>
  <si>
    <t xml:space="preserve">Zum Vergleich: Paket „Lager + App“</t>
  </si>
  <si>
    <t xml:space="preserve">Rechnet sich? (Ersparnis &gt; Paketpreis)</t>
  </si>
  <si>
    <t xml:space="preserve">Hinweis: Schätzwerte (Artikel pro Monat, Stundensatz) sind Annahmen – bitte durch eigene Werte ersetzen.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</si>
</sst>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.mm\.yyyy"/>
    <numFmt numFmtId="166" formatCode="0.0"/>
    <numFmt numFmtId="167" formatCode="0%"/>
    <numFmt numFmtId="168" formatCode="General"/>
    <numFmt numFmtId="169" formatCode="0"/>
    <numFmt numFmtId="170" formatCode="#,##0&quot; €&quot;"/>
    <numFmt numFmtId="171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sz val="11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12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5F8FC"/>
        <bgColor rgb="FFFFFFFF"/>
      </patternFill>
    </fill>
    <fill>
      <patternFill patternType="solid">
        <fgColor rgb="FFEDEDED"/>
        <bgColor rgb="FFF5F8FC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5F8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6.15" hidden="false" customHeight="false" outlineLevel="0" collapsed="false">
      <c r="B5" s="4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2" t="s">
        <v>4</v>
      </c>
    </row>
    <row r="8" customFormat="false" ht="1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2" t="s">
        <v>8</v>
      </c>
    </row>
    <row r="12" customFormat="false" ht="15" hidden="false" customHeight="false" outlineLevel="0" collapsed="false">
      <c r="B12" s="3"/>
    </row>
    <row r="13" customFormat="false" ht="16.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3"/>
    </row>
    <row r="17" customFormat="false" ht="16.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2" t="s">
        <v>17</v>
      </c>
    </row>
    <row r="23" customFormat="false" ht="15" hidden="false" customHeight="false" outlineLevel="0" collapsed="false">
      <c r="B23" s="2" t="s">
        <v>18</v>
      </c>
    </row>
    <row r="24" customFormat="false" ht="15" hidden="false" customHeight="false" outlineLevel="0" collapsed="false">
      <c r="B24" s="2" t="s">
        <v>19</v>
      </c>
    </row>
    <row r="25" customFormat="false" ht="15" hidden="false" customHeight="false" outlineLevel="0" collapsed="false">
      <c r="B25" s="2" t="s">
        <v>20</v>
      </c>
    </row>
    <row r="26" customFormat="false" ht="15" hidden="false" customHeight="false" outlineLevel="0" collapsed="false">
      <c r="B26" s="3"/>
    </row>
    <row r="27" customFormat="false" ht="15" hidden="false" customHeight="false" outlineLevel="0" collapsed="false">
      <c r="B27" s="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14" min="6" style="0" width="11"/>
    <col collapsed="false" customWidth="true" hidden="false" outlineLevel="0" max="15" min="15" style="0" width="18"/>
    <col collapsed="false" customWidth="true" hidden="false" outlineLevel="0" max="16" min="16" style="0" width="34"/>
  </cols>
  <sheetData>
    <row r="1" customFormat="false" ht="17.35" hidden="false" customHeight="false" outlineLevel="0" collapsed="false">
      <c r="A1" s="7" t="s">
        <v>22</v>
      </c>
    </row>
    <row r="2" customFormat="false" ht="15" hidden="false" customHeight="false" outlineLevel="0" collapsed="false">
      <c r="A2" s="8" t="s">
        <v>23</v>
      </c>
    </row>
    <row r="4" customFormat="false" ht="42" hidden="false" customHeight="true" outlineLevel="0" collapsed="false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  <c r="J4" s="9" t="s">
        <v>33</v>
      </c>
      <c r="K4" s="9" t="s">
        <v>34</v>
      </c>
      <c r="L4" s="9" t="s">
        <v>35</v>
      </c>
      <c r="M4" s="9" t="s">
        <v>36</v>
      </c>
      <c r="N4" s="9" t="s">
        <v>37</v>
      </c>
      <c r="O4" s="9" t="s">
        <v>38</v>
      </c>
      <c r="P4" s="9" t="s">
        <v>39</v>
      </c>
    </row>
    <row r="5" customFormat="false" ht="15" hidden="false" customHeight="false" outlineLevel="0" collapsed="false">
      <c r="A5" s="10" t="s">
        <v>40</v>
      </c>
      <c r="B5" s="11" t="s">
        <v>41</v>
      </c>
      <c r="C5" s="12" t="s">
        <v>42</v>
      </c>
      <c r="D5" s="12" t="s">
        <v>43</v>
      </c>
      <c r="E5" s="12" t="s">
        <v>44</v>
      </c>
      <c r="F5" s="13" t="n">
        <v>2</v>
      </c>
      <c r="G5" s="13" t="n">
        <v>3.5</v>
      </c>
      <c r="H5" s="13" t="n">
        <v>6</v>
      </c>
      <c r="I5" s="13" t="n">
        <v>4</v>
      </c>
      <c r="J5" s="13" t="n">
        <v>5</v>
      </c>
      <c r="K5" s="13" t="n">
        <v>2.5</v>
      </c>
      <c r="L5" s="13" t="n">
        <v>1</v>
      </c>
      <c r="M5" s="13" t="n">
        <v>0</v>
      </c>
      <c r="N5" s="14" t="n">
        <f aca="false">IF(COUNT(F5:M5)=0,"",SUM(F5:M5))</f>
        <v>24</v>
      </c>
      <c r="O5" s="12" t="s">
        <v>45</v>
      </c>
      <c r="P5" s="12" t="s">
        <v>46</v>
      </c>
    </row>
    <row r="6" customFormat="false" ht="15" hidden="false" customHeight="false" outlineLevel="0" collapsed="false">
      <c r="A6" s="15" t="n">
        <v>1</v>
      </c>
      <c r="B6" s="16"/>
      <c r="C6" s="17"/>
      <c r="D6" s="17"/>
      <c r="E6" s="17"/>
      <c r="F6" s="18"/>
      <c r="G6" s="18"/>
      <c r="H6" s="18"/>
      <c r="I6" s="18"/>
      <c r="J6" s="18"/>
      <c r="K6" s="18"/>
      <c r="L6" s="18"/>
      <c r="M6" s="18"/>
      <c r="N6" s="19" t="str">
        <f aca="false">IF(COUNT(F6:M6)=0,"",SUM(F6:M6))</f>
        <v/>
      </c>
      <c r="O6" s="17"/>
      <c r="P6" s="17"/>
    </row>
    <row r="7" customFormat="false" ht="15" hidden="false" customHeight="false" outlineLevel="0" collapsed="false">
      <c r="A7" s="15" t="n">
        <v>2</v>
      </c>
      <c r="B7" s="16"/>
      <c r="C7" s="17"/>
      <c r="D7" s="17"/>
      <c r="E7" s="17"/>
      <c r="F7" s="18"/>
      <c r="G7" s="18"/>
      <c r="H7" s="18"/>
      <c r="I7" s="18"/>
      <c r="J7" s="18"/>
      <c r="K7" s="18"/>
      <c r="L7" s="18"/>
      <c r="M7" s="18"/>
      <c r="N7" s="19" t="str">
        <f aca="false">IF(COUNT(F7:M7)=0,"",SUM(F7:M7))</f>
        <v/>
      </c>
      <c r="O7" s="17"/>
      <c r="P7" s="17"/>
    </row>
    <row r="8" customFormat="false" ht="15" hidden="false" customHeight="false" outlineLevel="0" collapsed="false">
      <c r="A8" s="15" t="n">
        <v>3</v>
      </c>
      <c r="B8" s="16"/>
      <c r="C8" s="17"/>
      <c r="D8" s="17"/>
      <c r="E8" s="17"/>
      <c r="F8" s="18"/>
      <c r="G8" s="18"/>
      <c r="H8" s="18"/>
      <c r="I8" s="18"/>
      <c r="J8" s="18"/>
      <c r="K8" s="18"/>
      <c r="L8" s="18"/>
      <c r="M8" s="18"/>
      <c r="N8" s="19" t="str">
        <f aca="false">IF(COUNT(F8:M8)=0,"",SUM(F8:M8))</f>
        <v/>
      </c>
      <c r="O8" s="17"/>
      <c r="P8" s="17"/>
    </row>
    <row r="9" customFormat="false" ht="15" hidden="false" customHeight="false" outlineLevel="0" collapsed="false">
      <c r="A9" s="15" t="n">
        <v>4</v>
      </c>
      <c r="B9" s="16"/>
      <c r="C9" s="17"/>
      <c r="D9" s="17"/>
      <c r="E9" s="17"/>
      <c r="F9" s="18"/>
      <c r="G9" s="18"/>
      <c r="H9" s="18"/>
      <c r="I9" s="18"/>
      <c r="J9" s="18"/>
      <c r="K9" s="18"/>
      <c r="L9" s="18"/>
      <c r="M9" s="18"/>
      <c r="N9" s="19" t="str">
        <f aca="false">IF(COUNT(F9:M9)=0,"",SUM(F9:M9))</f>
        <v/>
      </c>
      <c r="O9" s="17"/>
      <c r="P9" s="17"/>
    </row>
    <row r="10" customFormat="false" ht="15" hidden="false" customHeight="false" outlineLevel="0" collapsed="false">
      <c r="A10" s="15" t="n">
        <v>5</v>
      </c>
      <c r="B10" s="16"/>
      <c r="C10" s="17"/>
      <c r="D10" s="17"/>
      <c r="E10" s="17"/>
      <c r="F10" s="18"/>
      <c r="G10" s="18"/>
      <c r="H10" s="18"/>
      <c r="I10" s="18"/>
      <c r="J10" s="18"/>
      <c r="K10" s="18"/>
      <c r="L10" s="18"/>
      <c r="M10" s="18"/>
      <c r="N10" s="19" t="str">
        <f aca="false">IF(COUNT(F10:M10)=0,"",SUM(F10:M10))</f>
        <v/>
      </c>
      <c r="O10" s="17"/>
      <c r="P10" s="17"/>
    </row>
    <row r="11" customFormat="false" ht="15" hidden="false" customHeight="false" outlineLevel="0" collapsed="false">
      <c r="A11" s="15" t="n">
        <v>6</v>
      </c>
      <c r="B11" s="16"/>
      <c r="C11" s="17"/>
      <c r="D11" s="17"/>
      <c r="E11" s="17"/>
      <c r="F11" s="18"/>
      <c r="G11" s="18"/>
      <c r="H11" s="18"/>
      <c r="I11" s="18"/>
      <c r="J11" s="18"/>
      <c r="K11" s="18"/>
      <c r="L11" s="18"/>
      <c r="M11" s="18"/>
      <c r="N11" s="19" t="str">
        <f aca="false">IF(COUNT(F11:M11)=0,"",SUM(F11:M11))</f>
        <v/>
      </c>
      <c r="O11" s="17"/>
      <c r="P11" s="17"/>
    </row>
    <row r="12" customFormat="false" ht="15" hidden="false" customHeight="false" outlineLevel="0" collapsed="false">
      <c r="A12" s="15" t="n">
        <v>7</v>
      </c>
      <c r="B12" s="16"/>
      <c r="C12" s="17"/>
      <c r="D12" s="17"/>
      <c r="E12" s="17"/>
      <c r="F12" s="18"/>
      <c r="G12" s="18"/>
      <c r="H12" s="18"/>
      <c r="I12" s="18"/>
      <c r="J12" s="18"/>
      <c r="K12" s="18"/>
      <c r="L12" s="18"/>
      <c r="M12" s="18"/>
      <c r="N12" s="19" t="str">
        <f aca="false">IF(COUNT(F12:M12)=0,"",SUM(F12:M12))</f>
        <v/>
      </c>
      <c r="O12" s="17"/>
      <c r="P12" s="17"/>
    </row>
    <row r="13" customFormat="false" ht="15" hidden="false" customHeight="false" outlineLevel="0" collapsed="false">
      <c r="A13" s="15" t="n">
        <v>8</v>
      </c>
      <c r="B13" s="16"/>
      <c r="C13" s="17"/>
      <c r="D13" s="17"/>
      <c r="E13" s="17"/>
      <c r="F13" s="18"/>
      <c r="G13" s="18"/>
      <c r="H13" s="18"/>
      <c r="I13" s="18"/>
      <c r="J13" s="18"/>
      <c r="K13" s="18"/>
      <c r="L13" s="18"/>
      <c r="M13" s="18"/>
      <c r="N13" s="19" t="str">
        <f aca="false">IF(COUNT(F13:M13)=0,"",SUM(F13:M13))</f>
        <v/>
      </c>
      <c r="O13" s="17"/>
      <c r="P13" s="17"/>
    </row>
    <row r="14" customFormat="false" ht="15" hidden="false" customHeight="false" outlineLevel="0" collapsed="false">
      <c r="A14" s="15" t="n">
        <v>9</v>
      </c>
      <c r="B14" s="16"/>
      <c r="C14" s="17"/>
      <c r="D14" s="17"/>
      <c r="E14" s="17"/>
      <c r="F14" s="18"/>
      <c r="G14" s="18"/>
      <c r="H14" s="18"/>
      <c r="I14" s="18"/>
      <c r="J14" s="18"/>
      <c r="K14" s="18"/>
      <c r="L14" s="18"/>
      <c r="M14" s="18"/>
      <c r="N14" s="19" t="str">
        <f aca="false">IF(COUNT(F14:M14)=0,"",SUM(F14:M14))</f>
        <v/>
      </c>
      <c r="O14" s="17"/>
      <c r="P14" s="17"/>
    </row>
    <row r="15" customFormat="false" ht="15" hidden="false" customHeight="false" outlineLevel="0" collapsed="false">
      <c r="A15" s="15" t="n">
        <v>10</v>
      </c>
      <c r="B15" s="16"/>
      <c r="C15" s="17"/>
      <c r="D15" s="17"/>
      <c r="E15" s="17"/>
      <c r="F15" s="18"/>
      <c r="G15" s="18"/>
      <c r="H15" s="18"/>
      <c r="I15" s="18"/>
      <c r="J15" s="18"/>
      <c r="K15" s="18"/>
      <c r="L15" s="18"/>
      <c r="M15" s="18"/>
      <c r="N15" s="19" t="str">
        <f aca="false">IF(COUNT(F15:M15)=0,"",SUM(F15:M15))</f>
        <v/>
      </c>
      <c r="O15" s="17"/>
      <c r="P15" s="17"/>
    </row>
    <row r="16" customFormat="false" ht="15" hidden="false" customHeight="false" outlineLevel="0" collapsed="false">
      <c r="A16" s="15" t="n">
        <v>11</v>
      </c>
      <c r="B16" s="16"/>
      <c r="C16" s="17"/>
      <c r="D16" s="17"/>
      <c r="E16" s="17"/>
      <c r="F16" s="18"/>
      <c r="G16" s="18"/>
      <c r="H16" s="18"/>
      <c r="I16" s="18"/>
      <c r="J16" s="18"/>
      <c r="K16" s="18"/>
      <c r="L16" s="18"/>
      <c r="M16" s="18"/>
      <c r="N16" s="19" t="str">
        <f aca="false">IF(COUNT(F16:M16)=0,"",SUM(F16:M16))</f>
        <v/>
      </c>
      <c r="O16" s="17"/>
      <c r="P16" s="17"/>
    </row>
    <row r="17" customFormat="false" ht="15" hidden="false" customHeight="false" outlineLevel="0" collapsed="false">
      <c r="A17" s="15" t="n">
        <v>12</v>
      </c>
      <c r="B17" s="16"/>
      <c r="C17" s="17"/>
      <c r="D17" s="17"/>
      <c r="E17" s="17"/>
      <c r="F17" s="18"/>
      <c r="G17" s="18"/>
      <c r="H17" s="18"/>
      <c r="I17" s="18"/>
      <c r="J17" s="18"/>
      <c r="K17" s="18"/>
      <c r="L17" s="18"/>
      <c r="M17" s="18"/>
      <c r="N17" s="19" t="str">
        <f aca="false">IF(COUNT(F17:M17)=0,"",SUM(F17:M17))</f>
        <v/>
      </c>
      <c r="O17" s="17"/>
      <c r="P17" s="17"/>
    </row>
    <row r="18" customFormat="false" ht="15" hidden="false" customHeight="false" outlineLevel="0" collapsed="false">
      <c r="A18" s="15" t="n">
        <v>13</v>
      </c>
      <c r="B18" s="16"/>
      <c r="C18" s="17"/>
      <c r="D18" s="17"/>
      <c r="E18" s="17"/>
      <c r="F18" s="18"/>
      <c r="G18" s="18"/>
      <c r="H18" s="18"/>
      <c r="I18" s="18"/>
      <c r="J18" s="18"/>
      <c r="K18" s="18"/>
      <c r="L18" s="18"/>
      <c r="M18" s="18"/>
      <c r="N18" s="19" t="str">
        <f aca="false">IF(COUNT(F18:M18)=0,"",SUM(F18:M18))</f>
        <v/>
      </c>
      <c r="O18" s="17"/>
      <c r="P18" s="17"/>
    </row>
    <row r="19" customFormat="false" ht="15" hidden="false" customHeight="false" outlineLevel="0" collapsed="false">
      <c r="A19" s="15" t="n">
        <v>14</v>
      </c>
      <c r="B19" s="16"/>
      <c r="C19" s="17"/>
      <c r="D19" s="17"/>
      <c r="E19" s="17"/>
      <c r="F19" s="18"/>
      <c r="G19" s="18"/>
      <c r="H19" s="18"/>
      <c r="I19" s="18"/>
      <c r="J19" s="18"/>
      <c r="K19" s="18"/>
      <c r="L19" s="18"/>
      <c r="M19" s="18"/>
      <c r="N19" s="19" t="str">
        <f aca="false">IF(COUNT(F19:M19)=0,"",SUM(F19:M19))</f>
        <v/>
      </c>
      <c r="O19" s="17"/>
      <c r="P19" s="17"/>
    </row>
    <row r="20" customFormat="false" ht="15" hidden="false" customHeight="false" outlineLevel="0" collapsed="false">
      <c r="A20" s="15" t="n">
        <v>15</v>
      </c>
      <c r="B20" s="16"/>
      <c r="C20" s="17"/>
      <c r="D20" s="17"/>
      <c r="E20" s="17"/>
      <c r="F20" s="18"/>
      <c r="G20" s="18"/>
      <c r="H20" s="18"/>
      <c r="I20" s="18"/>
      <c r="J20" s="18"/>
      <c r="K20" s="18"/>
      <c r="L20" s="18"/>
      <c r="M20" s="18"/>
      <c r="N20" s="19" t="str">
        <f aca="false">IF(COUNT(F20:M20)=0,"",SUM(F20:M20))</f>
        <v/>
      </c>
      <c r="O20" s="17"/>
      <c r="P20" s="17"/>
    </row>
    <row r="21" customFormat="false" ht="15" hidden="false" customHeight="false" outlineLevel="0" collapsed="false">
      <c r="A21" s="15" t="n">
        <v>16</v>
      </c>
      <c r="B21" s="16"/>
      <c r="C21" s="17"/>
      <c r="D21" s="17"/>
      <c r="E21" s="17"/>
      <c r="F21" s="18"/>
      <c r="G21" s="18"/>
      <c r="H21" s="18"/>
      <c r="I21" s="18"/>
      <c r="J21" s="18"/>
      <c r="K21" s="18"/>
      <c r="L21" s="18"/>
      <c r="M21" s="18"/>
      <c r="N21" s="19" t="str">
        <f aca="false">IF(COUNT(F21:M21)=0,"",SUM(F21:M21))</f>
        <v/>
      </c>
      <c r="O21" s="17"/>
      <c r="P21" s="17"/>
    </row>
    <row r="22" customFormat="false" ht="15" hidden="false" customHeight="false" outlineLevel="0" collapsed="false">
      <c r="A22" s="15" t="n">
        <v>17</v>
      </c>
      <c r="B22" s="16"/>
      <c r="C22" s="17"/>
      <c r="D22" s="17"/>
      <c r="E22" s="17"/>
      <c r="F22" s="18"/>
      <c r="G22" s="18"/>
      <c r="H22" s="18"/>
      <c r="I22" s="18"/>
      <c r="J22" s="18"/>
      <c r="K22" s="18"/>
      <c r="L22" s="18"/>
      <c r="M22" s="18"/>
      <c r="N22" s="19" t="str">
        <f aca="false">IF(COUNT(F22:M22)=0,"",SUM(F22:M22))</f>
        <v/>
      </c>
      <c r="O22" s="17"/>
      <c r="P22" s="17"/>
    </row>
    <row r="23" customFormat="false" ht="15" hidden="false" customHeight="false" outlineLevel="0" collapsed="false">
      <c r="A23" s="15" t="n">
        <v>18</v>
      </c>
      <c r="B23" s="16"/>
      <c r="C23" s="17"/>
      <c r="D23" s="17"/>
      <c r="E23" s="17"/>
      <c r="F23" s="18"/>
      <c r="G23" s="18"/>
      <c r="H23" s="18"/>
      <c r="I23" s="18"/>
      <c r="J23" s="18"/>
      <c r="K23" s="18"/>
      <c r="L23" s="18"/>
      <c r="M23" s="18"/>
      <c r="N23" s="19" t="str">
        <f aca="false">IF(COUNT(F23:M23)=0,"",SUM(F23:M23))</f>
        <v/>
      </c>
      <c r="O23" s="17"/>
      <c r="P23" s="17"/>
    </row>
    <row r="24" customFormat="false" ht="15" hidden="false" customHeight="false" outlineLevel="0" collapsed="false">
      <c r="A24" s="15" t="n">
        <v>19</v>
      </c>
      <c r="B24" s="16"/>
      <c r="C24" s="17"/>
      <c r="D24" s="17"/>
      <c r="E24" s="17"/>
      <c r="F24" s="18"/>
      <c r="G24" s="18"/>
      <c r="H24" s="18"/>
      <c r="I24" s="18"/>
      <c r="J24" s="18"/>
      <c r="K24" s="18"/>
      <c r="L24" s="18"/>
      <c r="M24" s="18"/>
      <c r="N24" s="19" t="str">
        <f aca="false">IF(COUNT(F24:M24)=0,"",SUM(F24:M24))</f>
        <v/>
      </c>
      <c r="O24" s="17"/>
      <c r="P24" s="17"/>
    </row>
    <row r="25" customFormat="false" ht="15" hidden="false" customHeight="false" outlineLevel="0" collapsed="false">
      <c r="A25" s="15" t="n">
        <v>20</v>
      </c>
      <c r="B25" s="16"/>
      <c r="C25" s="17"/>
      <c r="D25" s="17"/>
      <c r="E25" s="17"/>
      <c r="F25" s="18"/>
      <c r="G25" s="18"/>
      <c r="H25" s="18"/>
      <c r="I25" s="18"/>
      <c r="J25" s="18"/>
      <c r="K25" s="18"/>
      <c r="L25" s="18"/>
      <c r="M25" s="18"/>
      <c r="N25" s="19" t="str">
        <f aca="false">IF(COUNT(F25:M25)=0,"",SUM(F25:M25))</f>
        <v/>
      </c>
      <c r="O25" s="17"/>
      <c r="P25" s="17"/>
    </row>
    <row r="26" customFormat="false" ht="15" hidden="false" customHeight="false" outlineLevel="0" collapsed="false">
      <c r="A26" s="15" t="n">
        <v>21</v>
      </c>
      <c r="B26" s="16"/>
      <c r="C26" s="17"/>
      <c r="D26" s="17"/>
      <c r="E26" s="17"/>
      <c r="F26" s="18"/>
      <c r="G26" s="18"/>
      <c r="H26" s="18"/>
      <c r="I26" s="18"/>
      <c r="J26" s="18"/>
      <c r="K26" s="18"/>
      <c r="L26" s="18"/>
      <c r="M26" s="18"/>
      <c r="N26" s="19" t="str">
        <f aca="false">IF(COUNT(F26:M26)=0,"",SUM(F26:M26))</f>
        <v/>
      </c>
      <c r="O26" s="17"/>
      <c r="P26" s="17"/>
    </row>
    <row r="27" customFormat="false" ht="15" hidden="false" customHeight="false" outlineLevel="0" collapsed="false">
      <c r="A27" s="15" t="n">
        <v>22</v>
      </c>
      <c r="B27" s="16"/>
      <c r="C27" s="17"/>
      <c r="D27" s="17"/>
      <c r="E27" s="17"/>
      <c r="F27" s="18"/>
      <c r="G27" s="18"/>
      <c r="H27" s="18"/>
      <c r="I27" s="18"/>
      <c r="J27" s="18"/>
      <c r="K27" s="18"/>
      <c r="L27" s="18"/>
      <c r="M27" s="18"/>
      <c r="N27" s="19" t="str">
        <f aca="false">IF(COUNT(F27:M27)=0,"",SUM(F27:M27))</f>
        <v/>
      </c>
      <c r="O27" s="17"/>
      <c r="P27" s="17"/>
    </row>
    <row r="28" customFormat="false" ht="15" hidden="false" customHeight="false" outlineLevel="0" collapsed="false">
      <c r="A28" s="15" t="n">
        <v>23</v>
      </c>
      <c r="B28" s="16"/>
      <c r="C28" s="17"/>
      <c r="D28" s="17"/>
      <c r="E28" s="17"/>
      <c r="F28" s="18"/>
      <c r="G28" s="18"/>
      <c r="H28" s="18"/>
      <c r="I28" s="18"/>
      <c r="J28" s="18"/>
      <c r="K28" s="18"/>
      <c r="L28" s="18"/>
      <c r="M28" s="18"/>
      <c r="N28" s="19" t="str">
        <f aca="false">IF(COUNT(F28:M28)=0,"",SUM(F28:M28))</f>
        <v/>
      </c>
      <c r="O28" s="17"/>
      <c r="P28" s="17"/>
    </row>
    <row r="29" customFormat="false" ht="15" hidden="false" customHeight="false" outlineLevel="0" collapsed="false">
      <c r="A29" s="15" t="n">
        <v>24</v>
      </c>
      <c r="B29" s="16"/>
      <c r="C29" s="17"/>
      <c r="D29" s="17"/>
      <c r="E29" s="17"/>
      <c r="F29" s="18"/>
      <c r="G29" s="18"/>
      <c r="H29" s="18"/>
      <c r="I29" s="18"/>
      <c r="J29" s="18"/>
      <c r="K29" s="18"/>
      <c r="L29" s="18"/>
      <c r="M29" s="18"/>
      <c r="N29" s="19" t="str">
        <f aca="false">IF(COUNT(F29:M29)=0,"",SUM(F29:M29))</f>
        <v/>
      </c>
      <c r="O29" s="17"/>
      <c r="P29" s="17"/>
    </row>
    <row r="30" customFormat="false" ht="15" hidden="false" customHeight="false" outlineLevel="0" collapsed="false">
      <c r="A30" s="15" t="n">
        <v>25</v>
      </c>
      <c r="B30" s="16"/>
      <c r="C30" s="17"/>
      <c r="D30" s="17"/>
      <c r="E30" s="17"/>
      <c r="F30" s="18"/>
      <c r="G30" s="18"/>
      <c r="H30" s="18"/>
      <c r="I30" s="18"/>
      <c r="J30" s="18"/>
      <c r="K30" s="18"/>
      <c r="L30" s="18"/>
      <c r="M30" s="18"/>
      <c r="N30" s="19" t="str">
        <f aca="false">IF(COUNT(F30:M30)=0,"",SUM(F30:M30))</f>
        <v/>
      </c>
      <c r="O30" s="17"/>
      <c r="P30" s="17"/>
    </row>
    <row r="31" customFormat="false" ht="15" hidden="false" customHeight="false" outlineLevel="0" collapsed="false">
      <c r="A31" s="15" t="n">
        <v>26</v>
      </c>
      <c r="B31" s="16"/>
      <c r="C31" s="17"/>
      <c r="D31" s="17"/>
      <c r="E31" s="17"/>
      <c r="F31" s="18"/>
      <c r="G31" s="18"/>
      <c r="H31" s="18"/>
      <c r="I31" s="18"/>
      <c r="J31" s="18"/>
      <c r="K31" s="18"/>
      <c r="L31" s="18"/>
      <c r="M31" s="18"/>
      <c r="N31" s="19" t="str">
        <f aca="false">IF(COUNT(F31:M31)=0,"",SUM(F31:M31))</f>
        <v/>
      </c>
      <c r="O31" s="17"/>
      <c r="P31" s="17"/>
    </row>
    <row r="32" customFormat="false" ht="15" hidden="false" customHeight="false" outlineLevel="0" collapsed="false">
      <c r="A32" s="15" t="n">
        <v>27</v>
      </c>
      <c r="B32" s="16"/>
      <c r="C32" s="17"/>
      <c r="D32" s="17"/>
      <c r="E32" s="17"/>
      <c r="F32" s="18"/>
      <c r="G32" s="18"/>
      <c r="H32" s="18"/>
      <c r="I32" s="18"/>
      <c r="J32" s="18"/>
      <c r="K32" s="18"/>
      <c r="L32" s="18"/>
      <c r="M32" s="18"/>
      <c r="N32" s="19" t="str">
        <f aca="false">IF(COUNT(F32:M32)=0,"",SUM(F32:M32))</f>
        <v/>
      </c>
      <c r="O32" s="17"/>
      <c r="P32" s="17"/>
    </row>
    <row r="33" customFormat="false" ht="15" hidden="false" customHeight="false" outlineLevel="0" collapsed="false">
      <c r="A33" s="15" t="n">
        <v>28</v>
      </c>
      <c r="B33" s="16"/>
      <c r="C33" s="17"/>
      <c r="D33" s="17"/>
      <c r="E33" s="17"/>
      <c r="F33" s="18"/>
      <c r="G33" s="18"/>
      <c r="H33" s="18"/>
      <c r="I33" s="18"/>
      <c r="J33" s="18"/>
      <c r="K33" s="18"/>
      <c r="L33" s="18"/>
      <c r="M33" s="18"/>
      <c r="N33" s="19" t="str">
        <f aca="false">IF(COUNT(F33:M33)=0,"",SUM(F33:M33))</f>
        <v/>
      </c>
      <c r="O33" s="17"/>
      <c r="P33" s="17"/>
    </row>
    <row r="34" customFormat="false" ht="15" hidden="false" customHeight="false" outlineLevel="0" collapsed="false">
      <c r="A34" s="15" t="n">
        <v>29</v>
      </c>
      <c r="B34" s="16"/>
      <c r="C34" s="17"/>
      <c r="D34" s="17"/>
      <c r="E34" s="17"/>
      <c r="F34" s="18"/>
      <c r="G34" s="18"/>
      <c r="H34" s="18"/>
      <c r="I34" s="18"/>
      <c r="J34" s="18"/>
      <c r="K34" s="18"/>
      <c r="L34" s="18"/>
      <c r="M34" s="18"/>
      <c r="N34" s="19" t="str">
        <f aca="false">IF(COUNT(F34:M34)=0,"",SUM(F34:M34))</f>
        <v/>
      </c>
      <c r="O34" s="17"/>
      <c r="P34" s="17"/>
    </row>
    <row r="35" customFormat="false" ht="15" hidden="false" customHeight="false" outlineLevel="0" collapsed="false">
      <c r="A35" s="15" t="n">
        <v>30</v>
      </c>
      <c r="B35" s="16"/>
      <c r="C35" s="17"/>
      <c r="D35" s="17"/>
      <c r="E35" s="17"/>
      <c r="F35" s="18"/>
      <c r="G35" s="18"/>
      <c r="H35" s="18"/>
      <c r="I35" s="18"/>
      <c r="J35" s="18"/>
      <c r="K35" s="18"/>
      <c r="L35" s="18"/>
      <c r="M35" s="18"/>
      <c r="N35" s="19" t="str">
        <f aca="false">IF(COUNT(F35:M35)=0,"",SUM(F35:M35))</f>
        <v/>
      </c>
      <c r="O35" s="17"/>
      <c r="P35" s="17"/>
    </row>
    <row r="36" customFormat="false" ht="15" hidden="false" customHeight="false" outlineLevel="0" collapsed="false">
      <c r="A36" s="15" t="n">
        <v>31</v>
      </c>
      <c r="B36" s="16"/>
      <c r="C36" s="17"/>
      <c r="D36" s="17"/>
      <c r="E36" s="17"/>
      <c r="F36" s="18"/>
      <c r="G36" s="18"/>
      <c r="H36" s="18"/>
      <c r="I36" s="18"/>
      <c r="J36" s="18"/>
      <c r="K36" s="18"/>
      <c r="L36" s="18"/>
      <c r="M36" s="18"/>
      <c r="N36" s="19" t="str">
        <f aca="false">IF(COUNT(F36:M36)=0,"",SUM(F36:M36))</f>
        <v/>
      </c>
      <c r="O36" s="17"/>
      <c r="P36" s="17"/>
    </row>
    <row r="37" customFormat="false" ht="15" hidden="false" customHeight="false" outlineLevel="0" collapsed="false">
      <c r="A37" s="15" t="n">
        <v>32</v>
      </c>
      <c r="B37" s="16"/>
      <c r="C37" s="17"/>
      <c r="D37" s="17"/>
      <c r="E37" s="17"/>
      <c r="F37" s="18"/>
      <c r="G37" s="18"/>
      <c r="H37" s="18"/>
      <c r="I37" s="18"/>
      <c r="J37" s="18"/>
      <c r="K37" s="18"/>
      <c r="L37" s="18"/>
      <c r="M37" s="18"/>
      <c r="N37" s="19" t="str">
        <f aca="false">IF(COUNT(F37:M37)=0,"",SUM(F37:M37))</f>
        <v/>
      </c>
      <c r="O37" s="17"/>
      <c r="P37" s="17"/>
    </row>
    <row r="38" customFormat="false" ht="15" hidden="false" customHeight="false" outlineLevel="0" collapsed="false">
      <c r="A38" s="15" t="n">
        <v>33</v>
      </c>
      <c r="B38" s="16"/>
      <c r="C38" s="17"/>
      <c r="D38" s="17"/>
      <c r="E38" s="17"/>
      <c r="F38" s="18"/>
      <c r="G38" s="18"/>
      <c r="H38" s="18"/>
      <c r="I38" s="18"/>
      <c r="J38" s="18"/>
      <c r="K38" s="18"/>
      <c r="L38" s="18"/>
      <c r="M38" s="18"/>
      <c r="N38" s="19" t="str">
        <f aca="false">IF(COUNT(F38:M38)=0,"",SUM(F38:M38))</f>
        <v/>
      </c>
      <c r="O38" s="17"/>
      <c r="P38" s="17"/>
    </row>
    <row r="39" customFormat="false" ht="15" hidden="false" customHeight="false" outlineLevel="0" collapsed="false">
      <c r="A39" s="15" t="n">
        <v>34</v>
      </c>
      <c r="B39" s="16"/>
      <c r="C39" s="17"/>
      <c r="D39" s="17"/>
      <c r="E39" s="17"/>
      <c r="F39" s="18"/>
      <c r="G39" s="18"/>
      <c r="H39" s="18"/>
      <c r="I39" s="18"/>
      <c r="J39" s="18"/>
      <c r="K39" s="18"/>
      <c r="L39" s="18"/>
      <c r="M39" s="18"/>
      <c r="N39" s="19" t="str">
        <f aca="false">IF(COUNT(F39:M39)=0,"",SUM(F39:M39))</f>
        <v/>
      </c>
      <c r="O39" s="17"/>
      <c r="P39" s="17"/>
    </row>
    <row r="40" customFormat="false" ht="15" hidden="false" customHeight="false" outlineLevel="0" collapsed="false">
      <c r="A40" s="15" t="n">
        <v>35</v>
      </c>
      <c r="B40" s="16"/>
      <c r="C40" s="17"/>
      <c r="D40" s="17"/>
      <c r="E40" s="17"/>
      <c r="F40" s="18"/>
      <c r="G40" s="18"/>
      <c r="H40" s="18"/>
      <c r="I40" s="18"/>
      <c r="J40" s="18"/>
      <c r="K40" s="18"/>
      <c r="L40" s="18"/>
      <c r="M40" s="18"/>
      <c r="N40" s="19" t="str">
        <f aca="false">IF(COUNT(F40:M40)=0,"",SUM(F40:M40))</f>
        <v/>
      </c>
      <c r="O40" s="17"/>
      <c r="P40" s="17"/>
    </row>
    <row r="41" customFormat="false" ht="15" hidden="false" customHeight="false" outlineLevel="0" collapsed="false">
      <c r="A41" s="15" t="n">
        <v>36</v>
      </c>
      <c r="B41" s="16"/>
      <c r="C41" s="17"/>
      <c r="D41" s="17"/>
      <c r="E41" s="17"/>
      <c r="F41" s="18"/>
      <c r="G41" s="18"/>
      <c r="H41" s="18"/>
      <c r="I41" s="18"/>
      <c r="J41" s="18"/>
      <c r="K41" s="18"/>
      <c r="L41" s="18"/>
      <c r="M41" s="18"/>
      <c r="N41" s="19" t="str">
        <f aca="false">IF(COUNT(F41:M41)=0,"",SUM(F41:M41))</f>
        <v/>
      </c>
      <c r="O41" s="17"/>
      <c r="P41" s="17"/>
    </row>
    <row r="42" customFormat="false" ht="15" hidden="false" customHeight="false" outlineLevel="0" collapsed="false">
      <c r="A42" s="15" t="n">
        <v>37</v>
      </c>
      <c r="B42" s="16"/>
      <c r="C42" s="17"/>
      <c r="D42" s="17"/>
      <c r="E42" s="17"/>
      <c r="F42" s="18"/>
      <c r="G42" s="18"/>
      <c r="H42" s="18"/>
      <c r="I42" s="18"/>
      <c r="J42" s="18"/>
      <c r="K42" s="18"/>
      <c r="L42" s="18"/>
      <c r="M42" s="18"/>
      <c r="N42" s="19" t="str">
        <f aca="false">IF(COUNT(F42:M42)=0,"",SUM(F42:M42))</f>
        <v/>
      </c>
      <c r="O42" s="17"/>
      <c r="P42" s="17"/>
    </row>
    <row r="43" customFormat="false" ht="15" hidden="false" customHeight="false" outlineLevel="0" collapsed="false">
      <c r="A43" s="15" t="n">
        <v>38</v>
      </c>
      <c r="B43" s="16"/>
      <c r="C43" s="17"/>
      <c r="D43" s="17"/>
      <c r="E43" s="17"/>
      <c r="F43" s="18"/>
      <c r="G43" s="18"/>
      <c r="H43" s="18"/>
      <c r="I43" s="18"/>
      <c r="J43" s="18"/>
      <c r="K43" s="18"/>
      <c r="L43" s="18"/>
      <c r="M43" s="18"/>
      <c r="N43" s="19" t="str">
        <f aca="false">IF(COUNT(F43:M43)=0,"",SUM(F43:M43))</f>
        <v/>
      </c>
      <c r="O43" s="17"/>
      <c r="P43" s="17"/>
    </row>
    <row r="44" customFormat="false" ht="15" hidden="false" customHeight="false" outlineLevel="0" collapsed="false">
      <c r="A44" s="15" t="n">
        <v>39</v>
      </c>
      <c r="B44" s="16"/>
      <c r="C44" s="17"/>
      <c r="D44" s="17"/>
      <c r="E44" s="17"/>
      <c r="F44" s="18"/>
      <c r="G44" s="18"/>
      <c r="H44" s="18"/>
      <c r="I44" s="18"/>
      <c r="J44" s="18"/>
      <c r="K44" s="18"/>
      <c r="L44" s="18"/>
      <c r="M44" s="18"/>
      <c r="N44" s="19" t="str">
        <f aca="false">IF(COUNT(F44:M44)=0,"",SUM(F44:M44))</f>
        <v/>
      </c>
      <c r="O44" s="17"/>
      <c r="P44" s="17"/>
    </row>
    <row r="45" customFormat="false" ht="15" hidden="false" customHeight="false" outlineLevel="0" collapsed="false">
      <c r="A45" s="15" t="n">
        <v>40</v>
      </c>
      <c r="B45" s="16"/>
      <c r="C45" s="17"/>
      <c r="D45" s="17"/>
      <c r="E45" s="17"/>
      <c r="F45" s="18"/>
      <c r="G45" s="18"/>
      <c r="H45" s="18"/>
      <c r="I45" s="18"/>
      <c r="J45" s="18"/>
      <c r="K45" s="18"/>
      <c r="L45" s="18"/>
      <c r="M45" s="18"/>
      <c r="N45" s="19" t="str">
        <f aca="false">IF(COUNT(F45:M45)=0,"",SUM(F45:M45))</f>
        <v/>
      </c>
      <c r="O45" s="17"/>
      <c r="P45" s="17"/>
    </row>
  </sheetData>
  <dataValidations count="3">
    <dataValidation allowBlank="true" error="Bitte „Alt“ oder „Neu“ wählen." errorStyle="stop" errorTitle="Bitte auswählen" operator="between" showDropDown="false" showErrorMessage="false" showInputMessage="false" sqref="E6:E45" type="list">
      <formula1>"Alt,Neu"</formula1>
      <formula2>0</formula2>
    </dataValidation>
    <dataValidation allowBlank="true" errorStyle="stop" operator="between" showDropDown="false" showErrorMessage="false" showInputMessage="false" sqref="O6:O45" type="list">
      <formula1>"übernommen,angepasst,verworfen,nicht genutzt"</formula1>
      <formula2>0</formula2>
    </dataValidation>
    <dataValidation allowBlank="true" error="Bitte Minuten als Zahl eintragen (0 bis 600)." errorStyle="stop" errorTitle="Minuten" operator="between" showDropDown="false" showErrorMessage="false" showInputMessage="false" sqref="F6:M45" type="decimal">
      <formula1>0</formula1>
      <formula2>600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7" t="s">
        <v>47</v>
      </c>
    </row>
    <row r="3" customFormat="false" ht="15" hidden="false" customHeight="false" outlineLevel="0" collapsed="false">
      <c r="A3" s="20" t="s">
        <v>48</v>
      </c>
      <c r="B3" s="20" t="s">
        <v>49</v>
      </c>
      <c r="C3" s="20" t="s">
        <v>50</v>
      </c>
      <c r="D3" s="20" t="s">
        <v>51</v>
      </c>
      <c r="E3" s="20" t="s">
        <v>52</v>
      </c>
    </row>
    <row r="4" customFormat="false" ht="15" hidden="false" customHeight="false" outlineLevel="0" collapsed="false">
      <c r="A4" s="21" t="s">
        <v>53</v>
      </c>
      <c r="B4" s="22" t="str">
        <f aca="false">IFERROR(AVERAGEIFS(Messung!$F$6:$F$45,Messung!$E$6:$E$45,"Alt"),"")</f>
        <v/>
      </c>
      <c r="C4" s="22" t="str">
        <f aca="false">IFERROR(AVERAGEIFS(Messung!$F$6:$F$45,Messung!$E$6:$E$45,"Neu"),"")</f>
        <v/>
      </c>
      <c r="D4" s="22" t="str">
        <f aca="false">IF(OR(B4="",C4=""),"",B4-C4)</f>
        <v/>
      </c>
      <c r="E4" s="23" t="str">
        <f aca="false">IF(OR(B4="",C4="",B4=0),"",(B4-C4)/B4)</f>
        <v/>
      </c>
    </row>
    <row r="5" customFormat="false" ht="15" hidden="false" customHeight="false" outlineLevel="0" collapsed="false">
      <c r="A5" s="21" t="s">
        <v>54</v>
      </c>
      <c r="B5" s="22" t="str">
        <f aca="false">IFERROR(AVERAGEIFS(Messung!$G$6:$G$45,Messung!$E$6:$E$45,"Alt"),"")</f>
        <v/>
      </c>
      <c r="C5" s="22" t="str">
        <f aca="false">IFERROR(AVERAGEIFS(Messung!$G$6:$G$45,Messung!$E$6:$E$45,"Neu"),"")</f>
        <v/>
      </c>
      <c r="D5" s="22" t="str">
        <f aca="false">IF(OR(B5="",C5=""),"",B5-C5)</f>
        <v/>
      </c>
      <c r="E5" s="23" t="str">
        <f aca="false">IF(OR(B5="",C5="",B5=0),"",(B5-C5)/B5)</f>
        <v/>
      </c>
    </row>
    <row r="6" customFormat="false" ht="15" hidden="false" customHeight="false" outlineLevel="0" collapsed="false">
      <c r="A6" s="21" t="s">
        <v>55</v>
      </c>
      <c r="B6" s="22" t="str">
        <f aca="false">IFERROR(AVERAGEIFS(Messung!$H$6:$H$45,Messung!$E$6:$E$45,"Alt"),"")</f>
        <v/>
      </c>
      <c r="C6" s="22" t="str">
        <f aca="false">IFERROR(AVERAGEIFS(Messung!$H$6:$H$45,Messung!$E$6:$E$45,"Neu"),"")</f>
        <v/>
      </c>
      <c r="D6" s="22" t="str">
        <f aca="false">IF(OR(B6="",C6=""),"",B6-C6)</f>
        <v/>
      </c>
      <c r="E6" s="23" t="str">
        <f aca="false">IF(OR(B6="",C6="",B6=0),"",(B6-C6)/B6)</f>
        <v/>
      </c>
    </row>
    <row r="7" customFormat="false" ht="15" hidden="false" customHeight="false" outlineLevel="0" collapsed="false">
      <c r="A7" s="21" t="s">
        <v>56</v>
      </c>
      <c r="B7" s="22" t="str">
        <f aca="false">IFERROR(AVERAGEIFS(Messung!$I$6:$I$45,Messung!$E$6:$E$45,"Alt"),"")</f>
        <v/>
      </c>
      <c r="C7" s="22" t="str">
        <f aca="false">IFERROR(AVERAGEIFS(Messung!$I$6:$I$45,Messung!$E$6:$E$45,"Neu"),"")</f>
        <v/>
      </c>
      <c r="D7" s="22" t="str">
        <f aca="false">IF(OR(B7="",C7=""),"",B7-C7)</f>
        <v/>
      </c>
      <c r="E7" s="23" t="str">
        <f aca="false">IF(OR(B7="",C7="",B7=0),"",(B7-C7)/B7)</f>
        <v/>
      </c>
    </row>
    <row r="8" customFormat="false" ht="15" hidden="false" customHeight="false" outlineLevel="0" collapsed="false">
      <c r="A8" s="21" t="s">
        <v>57</v>
      </c>
      <c r="B8" s="22" t="str">
        <f aca="false">IFERROR(AVERAGEIFS(Messung!$J$6:$J$45,Messung!$E$6:$E$45,"Alt"),"")</f>
        <v/>
      </c>
      <c r="C8" s="22" t="str">
        <f aca="false">IFERROR(AVERAGEIFS(Messung!$J$6:$J$45,Messung!$E$6:$E$45,"Neu"),"")</f>
        <v/>
      </c>
      <c r="D8" s="22" t="str">
        <f aca="false">IF(OR(B8="",C8=""),"",B8-C8)</f>
        <v/>
      </c>
      <c r="E8" s="23" t="str">
        <f aca="false">IF(OR(B8="",C8="",B8=0),"",(B8-C8)/B8)</f>
        <v/>
      </c>
    </row>
    <row r="9" customFormat="false" ht="15" hidden="false" customHeight="false" outlineLevel="0" collapsed="false">
      <c r="A9" s="21" t="s">
        <v>58</v>
      </c>
      <c r="B9" s="22" t="str">
        <f aca="false">IFERROR(AVERAGEIFS(Messung!$K$6:$K$45,Messung!$E$6:$E$45,"Alt"),"")</f>
        <v/>
      </c>
      <c r="C9" s="22" t="str">
        <f aca="false">IFERROR(AVERAGEIFS(Messung!$K$6:$K$45,Messung!$E$6:$E$45,"Neu"),"")</f>
        <v/>
      </c>
      <c r="D9" s="22" t="str">
        <f aca="false">IF(OR(B9="",C9=""),"",B9-C9)</f>
        <v/>
      </c>
      <c r="E9" s="23" t="str">
        <f aca="false">IF(OR(B9="",C9="",B9=0),"",(B9-C9)/B9)</f>
        <v/>
      </c>
    </row>
    <row r="10" customFormat="false" ht="15" hidden="false" customHeight="false" outlineLevel="0" collapsed="false">
      <c r="A10" s="21" t="s">
        <v>59</v>
      </c>
      <c r="B10" s="22" t="str">
        <f aca="false">IFERROR(AVERAGEIFS(Messung!$L$6:$L$45,Messung!$E$6:$E$45,"Alt"),"")</f>
        <v/>
      </c>
      <c r="C10" s="22" t="str">
        <f aca="false">IFERROR(AVERAGEIFS(Messung!$L$6:$L$45,Messung!$E$6:$E$45,"Neu"),"")</f>
        <v/>
      </c>
      <c r="D10" s="22" t="str">
        <f aca="false">IF(OR(B10="",C10=""),"",B10-C10)</f>
        <v/>
      </c>
      <c r="E10" s="23" t="str">
        <f aca="false">IF(OR(B10="",C10="",B10=0),"",(B10-C10)/B10)</f>
        <v/>
      </c>
    </row>
    <row r="11" customFormat="false" ht="15" hidden="false" customHeight="false" outlineLevel="0" collapsed="false">
      <c r="A11" s="21" t="s">
        <v>60</v>
      </c>
      <c r="B11" s="22" t="str">
        <f aca="false">IFERROR(AVERAGEIFS(Messung!$M$6:$M$45,Messung!$E$6:$E$45,"Alt"),"")</f>
        <v/>
      </c>
      <c r="C11" s="22" t="str">
        <f aca="false">IFERROR(AVERAGEIFS(Messung!$M$6:$M$45,Messung!$E$6:$E$45,"Neu"),"")</f>
        <v/>
      </c>
      <c r="D11" s="22" t="str">
        <f aca="false">IF(OR(B11="",C11=""),"",B11-C11)</f>
        <v/>
      </c>
      <c r="E11" s="23" t="str">
        <f aca="false">IF(OR(B11="",C11="",B11=0),"",(B11-C11)/B11)</f>
        <v/>
      </c>
    </row>
    <row r="12" customFormat="false" ht="15" hidden="false" customHeight="false" outlineLevel="0" collapsed="false">
      <c r="A12" s="24" t="s">
        <v>61</v>
      </c>
      <c r="B12" s="19" t="str">
        <f aca="false">IFERROR(AVERAGEIFS(Messung!$N$6:$N$45,Messung!$E$6:$E$45,"Alt"),"")</f>
        <v/>
      </c>
      <c r="C12" s="19" t="str">
        <f aca="false">IFERROR(AVERAGEIFS(Messung!$N$6:$N$45,Messung!$E$6:$E$45,"Neu"),"")</f>
        <v/>
      </c>
      <c r="D12" s="19" t="str">
        <f aca="false">IF(OR(B12="",C12=""),"",B12-C12)</f>
        <v/>
      </c>
      <c r="E12" s="25" t="str">
        <f aca="false">IF(OR(B12="",C12="",B12=0),"",(B12-C12)/B12)</f>
        <v/>
      </c>
    </row>
    <row r="14" customFormat="false" ht="15" hidden="false" customHeight="false" outlineLevel="0" collapsed="false">
      <c r="A14" s="26" t="s">
        <v>62</v>
      </c>
      <c r="B14" s="27" t="n">
        <f aca="false">COUNTIFS(Messung!$E$6:$E$45,"Alt",Messung!$N$6:$N$45,"&gt;0")</f>
        <v>0</v>
      </c>
    </row>
    <row r="15" customFormat="false" ht="15" hidden="false" customHeight="false" outlineLevel="0" collapsed="false">
      <c r="A15" s="26" t="s">
        <v>63</v>
      </c>
      <c r="B15" s="27" t="n">
        <f aca="false">COUNTIFS(Messung!$E$6:$E$45,"Neu",Messung!$N$6:$N$45,"&gt;0")</f>
        <v>0</v>
      </c>
    </row>
    <row r="17" customFormat="false" ht="15" hidden="false" customHeight="false" outlineLevel="0" collapsed="false">
      <c r="A17" s="28" t="s">
        <v>64</v>
      </c>
      <c r="B17" s="29" t="str">
        <f aca="false">IF(E12="","noch keine Daten",IF(E12&gt;=0.5,"JA – erreicht","NEIN – noch nicht"))</f>
        <v>noch keine Daten</v>
      </c>
      <c r="C17" s="29"/>
    </row>
    <row r="19" customFormat="false" ht="15" hidden="false" customHeight="false" outlineLevel="0" collapsed="false">
      <c r="A19" s="30" t="s">
        <v>65</v>
      </c>
    </row>
    <row r="20" customFormat="false" ht="15" hidden="false" customHeight="false" outlineLevel="0" collapsed="false">
      <c r="A20" s="26" t="s">
        <v>66</v>
      </c>
      <c r="B20" s="31" t="n">
        <v>200</v>
      </c>
    </row>
    <row r="21" customFormat="false" ht="15" hidden="false" customHeight="false" outlineLevel="0" collapsed="false">
      <c r="A21" s="26" t="s">
        <v>67</v>
      </c>
      <c r="B21" s="32" t="n">
        <v>25</v>
      </c>
    </row>
    <row r="22" customFormat="false" ht="15" hidden="false" customHeight="false" outlineLevel="0" collapsed="false">
      <c r="A22" s="26" t="s">
        <v>68</v>
      </c>
      <c r="B22" s="33" t="str">
        <f aca="false">IF(D12="","",D12*B20/60)</f>
        <v/>
      </c>
    </row>
    <row r="23" customFormat="false" ht="15" hidden="false" customHeight="false" outlineLevel="0" collapsed="false">
      <c r="A23" s="26" t="s">
        <v>69</v>
      </c>
      <c r="B23" s="34" t="str">
        <f aca="false">IF(D12="","",D12*B20/60*B21)</f>
        <v/>
      </c>
    </row>
    <row r="24" customFormat="false" ht="15" hidden="false" customHeight="false" outlineLevel="0" collapsed="false">
      <c r="A24" s="26" t="s">
        <v>70</v>
      </c>
      <c r="B24" s="35" t="n">
        <v>129</v>
      </c>
    </row>
    <row r="25" customFormat="false" ht="15" hidden="false" customHeight="false" outlineLevel="0" collapsed="false">
      <c r="A25" s="36" t="s">
        <v>71</v>
      </c>
      <c r="B25" s="37" t="str">
        <f aca="false">IF(B23="","noch keine Daten",IF(B23&gt;B24,"JA","NEIN"))</f>
        <v>noch keine Daten</v>
      </c>
    </row>
    <row r="27" customFormat="false" ht="15" hidden="false" customHeight="false" outlineLevel="0" collapsed="false">
      <c r="A27" s="38" t="s">
        <v>72</v>
      </c>
    </row>
  </sheetData>
  <mergeCells count="1">
    <mergeCell ref="B17:C17"/>
  </mergeCells>
  <conditionalFormatting sqref="B17">
    <cfRule type="expression" priority="2" aboveAverage="0" equalAverage="0" bottom="0" percent="0" rank="0" text="" dxfId="0">
      <formula>LEFT(B17,2)="JA"</formula>
    </cfRule>
    <cfRule type="expression" priority="3" aboveAverage="0" equalAverage="0" bottom="0" percent="0" rank="0" text="" dxfId="1">
      <formula>LEFT(B17,4)="NEIN"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2026-09-29T02:11:15Z</dcterms:created>
  <dc:creator>openpyxl</dc:creator>
  <dc:description/>
  <dc:language>en-US</dc:language>
  <cp:lastModifiedBy/>
  <dcterms:modified xsi:type="dcterms:W3CDTF">2026-09-29T02:11:15Z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